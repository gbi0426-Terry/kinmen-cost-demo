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薪資統計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EBF3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3" fontId="0" fillId="4" borderId="1" applyAlignment="1" pivotButton="0" quotePrefix="0" xfId="0">
      <alignment horizontal="center"/>
    </xf>
    <xf numFmtId="0" fontId="3" fillId="0" borderId="0" pivotButton="0" quotePrefix="0" xfId="0"/>
    <xf numFmtId="3" fontId="3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0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金酒公司薪資統計表　2026年05月</t>
        </is>
      </c>
    </row>
    <row r="2">
      <c r="A2" s="2" t="inlineStr">
        <is>
          <t>員工編號</t>
        </is>
      </c>
      <c r="B2" s="2" t="inlineStr">
        <is>
          <t>姓名</t>
        </is>
      </c>
      <c r="C2" s="2" t="inlineStr">
        <is>
          <t>部門</t>
        </is>
      </c>
      <c r="D2" s="2" t="inlineStr">
        <is>
          <t>職稱</t>
        </is>
      </c>
      <c r="E2" s="2" t="inlineStr">
        <is>
          <t>本薪</t>
        </is>
      </c>
      <c r="F2" s="2" t="inlineStr">
        <is>
          <t>加班費</t>
        </is>
      </c>
      <c r="G2" s="2" t="inlineStr">
        <is>
          <t>其他津貼</t>
        </is>
      </c>
      <c r="H2" s="2" t="inlineStr">
        <is>
          <t>合計薪資</t>
        </is>
      </c>
    </row>
    <row r="3">
      <c r="A3" s="3" t="inlineStr">
        <is>
          <t>E001</t>
        </is>
      </c>
      <c r="B3" s="3" t="inlineStr">
        <is>
          <t>王大明</t>
        </is>
      </c>
      <c r="C3" s="3" t="inlineStr">
        <is>
          <t>金城廠釀造部</t>
        </is>
      </c>
      <c r="D3" s="3" t="inlineStr">
        <is>
          <t>作業員</t>
        </is>
      </c>
      <c r="E3" s="4" t="n">
        <v>38000</v>
      </c>
      <c r="F3" s="4" t="n">
        <v>3200</v>
      </c>
      <c r="G3" s="4" t="n">
        <v>1000</v>
      </c>
      <c r="H3" s="4" t="n">
        <v>42200</v>
      </c>
    </row>
    <row r="4">
      <c r="A4" s="5" t="inlineStr">
        <is>
          <t>E002</t>
        </is>
      </c>
      <c r="B4" s="5" t="inlineStr">
        <is>
          <t>李小花</t>
        </is>
      </c>
      <c r="C4" s="5" t="inlineStr">
        <is>
          <t>金城廠釀造部</t>
        </is>
      </c>
      <c r="D4" s="5" t="inlineStr">
        <is>
          <t>作業員</t>
        </is>
      </c>
      <c r="E4" s="6" t="n">
        <v>36000</v>
      </c>
      <c r="F4" s="6" t="n">
        <v>2800</v>
      </c>
      <c r="G4" s="6" t="n">
        <v>1000</v>
      </c>
      <c r="H4" s="6" t="n">
        <v>39800</v>
      </c>
    </row>
    <row r="5">
      <c r="A5" s="3" t="inlineStr">
        <is>
          <t>E003</t>
        </is>
      </c>
      <c r="B5" s="3" t="inlineStr">
        <is>
          <t>張志豪</t>
        </is>
      </c>
      <c r="C5" s="3" t="inlineStr">
        <is>
          <t>金城廠釀造部</t>
        </is>
      </c>
      <c r="D5" s="3" t="inlineStr">
        <is>
          <t>領班</t>
        </is>
      </c>
      <c r="E5" s="4" t="n">
        <v>48000</v>
      </c>
      <c r="F5" s="4" t="n">
        <v>4500</v>
      </c>
      <c r="G5" s="4" t="n">
        <v>2000</v>
      </c>
      <c r="H5" s="4" t="n">
        <v>54500</v>
      </c>
    </row>
    <row r="6">
      <c r="A6" s="5" t="inlineStr">
        <is>
          <t>E004</t>
        </is>
      </c>
      <c r="B6" s="5" t="inlineStr">
        <is>
          <t>陳美玲</t>
        </is>
      </c>
      <c r="C6" s="5" t="inlineStr">
        <is>
          <t>金城廠包裝部</t>
        </is>
      </c>
      <c r="D6" s="5" t="inlineStr">
        <is>
          <t>作業員</t>
        </is>
      </c>
      <c r="E6" s="6" t="n">
        <v>36000</v>
      </c>
      <c r="F6" s="6" t="n">
        <v>2500</v>
      </c>
      <c r="G6" s="6" t="n">
        <v>1000</v>
      </c>
      <c r="H6" s="6" t="n">
        <v>39500</v>
      </c>
    </row>
    <row r="7">
      <c r="A7" s="3" t="inlineStr">
        <is>
          <t>E005</t>
        </is>
      </c>
      <c r="B7" s="3" t="inlineStr">
        <is>
          <t>林建國</t>
        </is>
      </c>
      <c r="C7" s="3" t="inlineStr">
        <is>
          <t>金城廠包裝部</t>
        </is>
      </c>
      <c r="D7" s="3" t="inlineStr">
        <is>
          <t>作業員</t>
        </is>
      </c>
      <c r="E7" s="4" t="n">
        <v>37000</v>
      </c>
      <c r="F7" s="4" t="n">
        <v>3100</v>
      </c>
      <c r="G7" s="4" t="n">
        <v>1000</v>
      </c>
      <c r="H7" s="4" t="n">
        <v>41100</v>
      </c>
    </row>
    <row r="8">
      <c r="A8" s="5" t="inlineStr">
        <is>
          <t>E006</t>
        </is>
      </c>
      <c r="B8" s="5" t="inlineStr">
        <is>
          <t>黃雅慧</t>
        </is>
      </c>
      <c r="C8" s="5" t="inlineStr">
        <is>
          <t>金城廠包裝部</t>
        </is>
      </c>
      <c r="D8" s="5" t="inlineStr">
        <is>
          <t>領班</t>
        </is>
      </c>
      <c r="E8" s="6" t="n">
        <v>47000</v>
      </c>
      <c r="F8" s="6" t="n">
        <v>4200</v>
      </c>
      <c r="G8" s="6" t="n">
        <v>2000</v>
      </c>
      <c r="H8" s="6" t="n">
        <v>53200</v>
      </c>
    </row>
    <row r="9">
      <c r="A9" s="3" t="inlineStr">
        <is>
          <t>E007</t>
        </is>
      </c>
      <c r="B9" s="3" t="inlineStr">
        <is>
          <t>吳正義</t>
        </is>
      </c>
      <c r="C9" s="3" t="inlineStr">
        <is>
          <t>金寧廠釀造部</t>
        </is>
      </c>
      <c r="D9" s="3" t="inlineStr">
        <is>
          <t>作業員</t>
        </is>
      </c>
      <c r="E9" s="4" t="n">
        <v>38000</v>
      </c>
      <c r="F9" s="4" t="n">
        <v>3500</v>
      </c>
      <c r="G9" s="4" t="n">
        <v>1000</v>
      </c>
      <c r="H9" s="4" t="n">
        <v>42500</v>
      </c>
    </row>
    <row r="10">
      <c r="A10" s="5" t="inlineStr">
        <is>
          <t>E008</t>
        </is>
      </c>
      <c r="B10" s="5" t="inlineStr">
        <is>
          <t>蔡淑芬</t>
        </is>
      </c>
      <c r="C10" s="5" t="inlineStr">
        <is>
          <t>金寧廠釀造部</t>
        </is>
      </c>
      <c r="D10" s="5" t="inlineStr">
        <is>
          <t>作業員</t>
        </is>
      </c>
      <c r="E10" s="6" t="n">
        <v>36500</v>
      </c>
      <c r="F10" s="6" t="n">
        <v>2900</v>
      </c>
      <c r="G10" s="6" t="n">
        <v>1000</v>
      </c>
      <c r="H10" s="6" t="n">
        <v>40400</v>
      </c>
    </row>
    <row r="11">
      <c r="A11" s="3" t="inlineStr">
        <is>
          <t>E009</t>
        </is>
      </c>
      <c r="B11" s="3" t="inlineStr">
        <is>
          <t>鄭文傑</t>
        </is>
      </c>
      <c r="C11" s="3" t="inlineStr">
        <is>
          <t>金寧廠釀造部</t>
        </is>
      </c>
      <c r="D11" s="3" t="inlineStr">
        <is>
          <t>領班</t>
        </is>
      </c>
      <c r="E11" s="4" t="n">
        <v>49000</v>
      </c>
      <c r="F11" s="4" t="n">
        <v>5000</v>
      </c>
      <c r="G11" s="4" t="n">
        <v>2000</v>
      </c>
      <c r="H11" s="4" t="n">
        <v>56000</v>
      </c>
    </row>
    <row r="12">
      <c r="A12" s="5" t="inlineStr">
        <is>
          <t>E010</t>
        </is>
      </c>
      <c r="B12" s="5" t="inlineStr">
        <is>
          <t>許美雪</t>
        </is>
      </c>
      <c r="C12" s="5" t="inlineStr">
        <is>
          <t>金寧廠包裝部</t>
        </is>
      </c>
      <c r="D12" s="5" t="inlineStr">
        <is>
          <t>作業員</t>
        </is>
      </c>
      <c r="E12" s="6" t="n">
        <v>36000</v>
      </c>
      <c r="F12" s="6" t="n">
        <v>2600</v>
      </c>
      <c r="G12" s="6" t="n">
        <v>1000</v>
      </c>
      <c r="H12" s="6" t="n">
        <v>39600</v>
      </c>
    </row>
    <row r="13">
      <c r="A13" s="3" t="inlineStr">
        <is>
          <t>E011</t>
        </is>
      </c>
      <c r="B13" s="3" t="inlineStr">
        <is>
          <t>洪志明</t>
        </is>
      </c>
      <c r="C13" s="3" t="inlineStr">
        <is>
          <t>金寧廠包裝部</t>
        </is>
      </c>
      <c r="D13" s="3" t="inlineStr">
        <is>
          <t>作業員</t>
        </is>
      </c>
      <c r="E13" s="4" t="n">
        <v>37500</v>
      </c>
      <c r="F13" s="4" t="n">
        <v>3000</v>
      </c>
      <c r="G13" s="4" t="n">
        <v>1000</v>
      </c>
      <c r="H13" s="4" t="n">
        <v>41500</v>
      </c>
    </row>
    <row r="14">
      <c r="A14" s="5" t="inlineStr">
        <is>
          <t>E012</t>
        </is>
      </c>
      <c r="B14" s="5" t="inlineStr">
        <is>
          <t>謝佳宜</t>
        </is>
      </c>
      <c r="C14" s="5" t="inlineStr">
        <is>
          <t>金寧廠包裝部</t>
        </is>
      </c>
      <c r="D14" s="5" t="inlineStr">
        <is>
          <t>領班</t>
        </is>
      </c>
      <c r="E14" s="6" t="n">
        <v>48000</v>
      </c>
      <c r="F14" s="6" t="n">
        <v>4800</v>
      </c>
      <c r="G14" s="6" t="n">
        <v>2000</v>
      </c>
      <c r="H14" s="6" t="n">
        <v>54800</v>
      </c>
    </row>
    <row r="15">
      <c r="A15" s="7" t="inlineStr">
        <is>
          <t>合計</t>
        </is>
      </c>
      <c r="E15" s="8">
        <f>SUM(E3:E14)</f>
        <v/>
      </c>
      <c r="F15" s="8">
        <f>SUM(F3:F14)</f>
        <v/>
      </c>
      <c r="G15" s="8">
        <f>SUM(G3:G14)</f>
        <v/>
      </c>
      <c r="H15" s="8">
        <f>SUM(H3:H14)</f>
        <v/>
      </c>
    </row>
  </sheetData>
  <mergeCells count="2">
    <mergeCell ref="A15:D1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2026-06-13T15:26:58Z</dcterms:created>
  <dcterms:modified xmlns:dcterms="http://purl.org/dc/terms/" xmlns:xsi="http://www.w3.org/2001/XMLSchema-instance" xsi:type="dcterms:W3CDTF">2026-06-13T15:26:58Z</dcterms:modified>
</cp:coreProperties>
</file>